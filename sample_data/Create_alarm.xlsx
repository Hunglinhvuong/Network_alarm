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Recent_Work\ToolCV\Network-Alarm\sample_data\"/>
    </mc:Choice>
  </mc:AlternateContent>
  <xr:revisionPtr revIDLastSave="0" documentId="13_ncr:1_{9D6C0E6D-E410-4D26-93C2-B5B339E4F3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itelist (2)" sheetId="3" r:id="rId1"/>
  </sheets>
  <definedNames>
    <definedName name="ExternalData_1" localSheetId="0" hidden="1">'Sitelist (2)'!$A$1:$A$8</definedName>
    <definedName name="ExternalData_2" localSheetId="0" hidden="1">'Sitelist (2)'!$F$1:$G$15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CC803F-6757-40CD-AFE6-B23251BCD5B3}" keepAlive="1" name="Query - Alarm_device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2" xr16:uid="{A2C0B107-B69B-40C1-8E4C-A2AC16DBC571}" keepAlive="1" name="Query - Alarm_device1" description="Connection to the 'Alarm_device' query in the workbook." type="5" refreshedVersion="8" background="1" saveData="1">
    <dbPr connection="Provider=Microsoft.Mashup.OleDb.1;Data Source=$Workbook$;Location=Alarm_device;Extended Properties=&quot;&quot;" command="SELECT * FROM [Alarm_device]"/>
  </connection>
  <connection id="3" xr16:uid="{6E389493-252D-4E2D-B970-95204A2D5D7F}" keepAlive="1" name="Query - device" description="Connection to the 'device' query in the workbook." type="5" refreshedVersion="8" background="1" saveData="1">
    <dbPr connection="Provider=Microsoft.Mashup.OleDb.1;Data Source=$Workbook$;Location=device;Extended Properties=&quot;&quot;" command="SELECT * FROM [device]"/>
  </connection>
  <connection id="4" xr16:uid="{B1267321-50B6-48F8-904B-681C17E10AE1}" keepAlive="1" name="Query - Sitelist" description="Connection to the 'Sitelist' query in the workbook." type="5" refreshedVersion="8" background="1" saveData="1">
    <dbPr connection="Provider=Microsoft.Mashup.OleDb.1;Data Source=$Workbook$;Location=Sitelist;Extended Properties=&quot;&quot;" command="SELECT * FROM [Sitelist]"/>
  </connection>
  <connection id="5" xr16:uid="{F7A35A06-E6B5-4C49-B25C-6E73CD1980FB}" keepAlive="1" name="Query - Time" description="Connection to the 'Time' query in the workbook." type="5" refreshedVersion="8" background="1" saveData="1">
    <dbPr connection="Provider=Microsoft.Mashup.OleDb.1;Data Source=$Workbook$;Location=Time;Extended Properties=&quot;&quot;" command="SELECT * FROM [Time]"/>
  </connection>
</connections>
</file>

<file path=xl/sharedStrings.xml><?xml version="1.0" encoding="utf-8"?>
<sst xmlns="http://schemas.openxmlformats.org/spreadsheetml/2006/main" count="43" uniqueCount="21">
  <si>
    <t>AlarmSite</t>
  </si>
  <si>
    <t>power_fail</t>
  </si>
  <si>
    <t>loss_comm</t>
  </si>
  <si>
    <t>device.device_code</t>
  </si>
  <si>
    <t>AC</t>
  </si>
  <si>
    <t>MLL</t>
  </si>
  <si>
    <t>check</t>
  </si>
  <si>
    <t>NANTVH20</t>
  </si>
  <si>
    <t>NANTVH05</t>
  </si>
  <si>
    <t>NANTVH30</t>
  </si>
  <si>
    <t>NANTVH38</t>
  </si>
  <si>
    <t>NANTVH16</t>
  </si>
  <si>
    <t>NANTVH19</t>
  </si>
  <si>
    <t>NANTVH15</t>
  </si>
  <si>
    <t>NANTVH05_4G</t>
  </si>
  <si>
    <t>NANTVH15_4G</t>
  </si>
  <si>
    <t>NANTVH16_4G</t>
  </si>
  <si>
    <t>NANTVH19_4G</t>
  </si>
  <si>
    <t>NANTVH20_4G</t>
  </si>
  <si>
    <t>NANTVH30_4G</t>
  </si>
  <si>
    <t>NANTVH38_4G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</si>
</sst>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23" formatCode="h:mm\ AM/P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3E7EDB6-1F3B-4819-B26C-AA82FF43719D}" autoFormatId="16" applyNumberFormats="0" applyBorderFormats="0" applyFontFormats="0" applyPatternFormats="0" applyAlignmentFormats="0" applyWidthHeightFormats="0">
  <queryTableRefresh nextId="2">
    <queryTableFields count="1">
      <queryTableField id="1" name="AlarmSite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BC07AB5-2569-4BC7-8813-F69618C724CA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AlarmSite" tableColumnId="1"/>
      <queryTableField id="2" name="device.device_code" tableColumnId="2"/>
      <queryTableField id="3" dataBound="0" tableColumnId="3"/>
      <queryTableField id="4" dataBound="0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D4E27-0807-4F22-9E27-9C9CCB59A980}" name="Sitelist" displayName="Sitelist" ref="A1:A8" tableType="queryTable" totalsRowShown="0">
  <autoFilter ref="A1:A8" xr:uid="{BC5D4E27-0807-4F22-9E27-9C9CCB59A980}"/>
  <tableColumns count="1">
    <tableColumn id="1" xr3:uid="{8B3C171B-2B32-4CBB-8291-A35CAA05E239}" uniqueName="1" name="AlarmSite" queryTableFieldId="1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A2B9D9-5FE3-440B-ACED-AC870FCEAA12}" name="Time" displayName="Time" ref="C1:D18" totalsRowShown="0">
  <autoFilter ref="C1:D18" xr:uid="{7EA2B9D9-5FE3-440B-ACED-AC870FCEAA12}"/>
  <tableColumns count="2">
    <tableColumn id="2" xr3:uid="{09175D6F-2E72-4B79-9DF7-B5E285C02888}" name="power_fail" dataDxfId="6"/>
    <tableColumn id="3" xr3:uid="{0F909EC6-E0AE-4B79-9F14-0F27BACC6EB6}" name="loss_comm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A66E7D-CEE8-400E-AEA1-E5FF7F355936}" name="Alarm_device" displayName="Alarm_device" ref="F1:J15" tableType="queryTable" totalsRowShown="0">
  <autoFilter ref="F1:J15" xr:uid="{2EA66E7D-CEE8-400E-AEA1-E5FF7F355936}">
    <filterColumn colId="0">
      <filters>
        <filter val="NANTVH05"/>
        <filter val="NANTVH16"/>
        <filter val="NANTVH20"/>
        <filter val="NANTVH30"/>
        <filter val="NANTVH38"/>
      </filters>
    </filterColumn>
  </autoFilter>
  <tableColumns count="5">
    <tableColumn id="1" xr3:uid="{FFA68AE8-1A14-480E-9891-70F338F5C921}" uniqueName="1" name="AlarmSite" queryTableFieldId="1" dataDxfId="4"/>
    <tableColumn id="2" xr3:uid="{ABA867D0-061E-4BE6-99C8-734E9E8AC98C}" uniqueName="2" name="device.device_code" queryTableFieldId="2" dataDxfId="3"/>
    <tableColumn id="3" xr3:uid="{67CEBFD7-19CF-4AC1-8704-8FF7A9C40880}" uniqueName="3" name="AC" queryTableFieldId="3" dataDxfId="2">
      <calculatedColumnFormula>Alarm_device[[#This Row],[device.device_code]]&amp;",power_fail,"&amp;TEXT(Time[[#This Row],[power_fail]],"yyyy-mm-dd hh:mm:ss")</calculatedColumnFormula>
    </tableColumn>
    <tableColumn id="4" xr3:uid="{3E3B6DD7-EAB8-4752-B1B3-FCEACCD901C3}" uniqueName="4" name="MLL" queryTableFieldId="4" dataDxfId="1">
      <calculatedColumnFormula>Alarm_device[[#This Row],[device.device_code]]&amp;",loss_comm,"&amp;TEXT(Time[[#This Row],[loss_comm]],"yyyy-mm-dd hh:mm:ss")</calculatedColumnFormula>
    </tableColumn>
    <tableColumn id="5" xr3:uid="{24EC656A-0843-4A31-811F-182DBBBCE597}" uniqueName="5" name="check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94AF9-C773-4428-95FF-42F707640F7F}">
  <dimension ref="A1:J18"/>
  <sheetViews>
    <sheetView tabSelected="1" workbookViewId="0">
      <selection activeCell="K21" sqref="K21"/>
    </sheetView>
  </sheetViews>
  <sheetFormatPr defaultRowHeight="15" x14ac:dyDescent="0.25"/>
  <cols>
    <col min="1" max="1" width="12" bestFit="1" customWidth="1"/>
    <col min="3" max="4" width="19.28515625" customWidth="1"/>
    <col min="6" max="6" width="12" bestFit="1" customWidth="1"/>
    <col min="7" max="7" width="21.140625" bestFit="1" customWidth="1"/>
    <col min="8" max="8" width="43" bestFit="1" customWidth="1"/>
    <col min="9" max="9" width="43.28515625" bestFit="1" customWidth="1"/>
    <col min="10" max="10" width="8.28515625" bestFit="1" customWidth="1"/>
  </cols>
  <sheetData>
    <row r="1" spans="1:10" x14ac:dyDescent="0.25">
      <c r="A1" t="s">
        <v>0</v>
      </c>
      <c r="C1" t="s">
        <v>1</v>
      </c>
      <c r="D1" t="s">
        <v>2</v>
      </c>
      <c r="F1" t="s">
        <v>0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 t="s">
        <v>7</v>
      </c>
      <c r="C2" s="1">
        <v>46291.304166666669</v>
      </c>
      <c r="D2" s="1">
        <v>46291.405555555553</v>
      </c>
      <c r="F2" s="2" t="s">
        <v>8</v>
      </c>
      <c r="G2" s="2" t="s">
        <v>14</v>
      </c>
      <c r="H2" s="2" t="str">
        <f>Alarm_device[[#This Row],[device.device_code]]&amp;",power_fail,"&amp;TEXT(Time[[#This Row],[power_fail]],"yyyy-mm-dd hh:mm:ss")</f>
        <v>NANTVH05_4G,power_fail,2026-09-26 07:18:00</v>
      </c>
      <c r="I2" s="2" t="str">
        <f>Alarm_device[[#This Row],[device.device_code]]&amp;",loss_comm,"&amp;TEXT(Time[[#This Row],[loss_comm]],"yyyy-mm-dd hh:mm:ss")</f>
        <v>NANTVH05_4G,loss_comm,2026-09-26 09:44:00</v>
      </c>
      <c r="J2" s="2"/>
    </row>
    <row r="3" spans="1:10" hidden="1" x14ac:dyDescent="0.25">
      <c r="A3" t="s">
        <v>8</v>
      </c>
      <c r="C3" s="1">
        <v>46291.304166666669</v>
      </c>
      <c r="D3" s="1">
        <v>46291.405555555553</v>
      </c>
      <c r="F3" s="2" t="s">
        <v>13</v>
      </c>
      <c r="G3" s="2" t="s">
        <v>15</v>
      </c>
      <c r="H3" s="2" t="str">
        <f>Alarm_device[[#This Row],[device.device_code]]&amp;",power_fail,"&amp;TEXT(Time[[#This Row],[power_fail]],"yyyy-mm-dd hh:mm:ss")</f>
        <v>NANTVH15_4G,power_fail,2026-09-26 07:18:00</v>
      </c>
      <c r="I3" s="2" t="str">
        <f>Alarm_device[[#This Row],[device.device_code]]&amp;",loss_comm,"&amp;TEXT(Time[[#This Row],[loss_comm]],"yyyy-mm-dd hh:mm:ss")</f>
        <v>NANTVH15_4G,loss_comm,2026-09-26 09:44:00</v>
      </c>
      <c r="J3" s="2"/>
    </row>
    <row r="4" spans="1:10" x14ac:dyDescent="0.25">
      <c r="A4" t="s">
        <v>9</v>
      </c>
      <c r="C4" s="1">
        <v>46291.304166666669</v>
      </c>
      <c r="D4" s="1">
        <v>46291.405555555553</v>
      </c>
      <c r="F4" s="2" t="s">
        <v>11</v>
      </c>
      <c r="G4" s="2" t="s">
        <v>16</v>
      </c>
      <c r="H4" s="2" t="str">
        <f>Alarm_device[[#This Row],[device.device_code]]&amp;",power_fail,"&amp;TEXT(Time[[#This Row],[power_fail]],"yyyy-mm-dd hh:mm:ss")</f>
        <v>NANTVH16_4G,power_fail,2026-09-26 07:18:00</v>
      </c>
      <c r="I4" s="2" t="str">
        <f>Alarm_device[[#This Row],[device.device_code]]&amp;",loss_comm,"&amp;TEXT(Time[[#This Row],[loss_comm]],"yyyy-mm-dd hh:mm:ss")</f>
        <v>NANTVH16_4G,loss_comm,2026-09-26 09:44:00</v>
      </c>
      <c r="J4" s="2"/>
    </row>
    <row r="5" spans="1:10" hidden="1" x14ac:dyDescent="0.25">
      <c r="A5" t="s">
        <v>10</v>
      </c>
      <c r="C5" s="1">
        <v>46291.304166666669</v>
      </c>
      <c r="D5" s="1">
        <v>46291.405555555553</v>
      </c>
      <c r="F5" s="2" t="s">
        <v>12</v>
      </c>
      <c r="G5" s="2" t="s">
        <v>17</v>
      </c>
      <c r="H5" s="2" t="str">
        <f>Alarm_device[[#This Row],[device.device_code]]&amp;",power_fail,"&amp;TEXT(Time[[#This Row],[power_fail]],"yyyy-mm-dd hh:mm:ss")</f>
        <v>NANTVH19_4G,power_fail,2026-09-26 07:18:00</v>
      </c>
      <c r="I5" s="2" t="str">
        <f>Alarm_device[[#This Row],[device.device_code]]&amp;",loss_comm,"&amp;TEXT(Time[[#This Row],[loss_comm]],"yyyy-mm-dd hh:mm:ss")</f>
        <v>NANTVH19_4G,loss_comm,2026-09-26 09:44:00</v>
      </c>
      <c r="J5" s="2"/>
    </row>
    <row r="6" spans="1:10" x14ac:dyDescent="0.25">
      <c r="A6" t="s">
        <v>11</v>
      </c>
      <c r="C6" s="1">
        <v>46291.304166666669</v>
      </c>
      <c r="D6" s="1">
        <v>46291.405555555553</v>
      </c>
      <c r="F6" s="2" t="s">
        <v>7</v>
      </c>
      <c r="G6" s="2" t="s">
        <v>18</v>
      </c>
      <c r="H6" s="2" t="str">
        <f>Alarm_device[[#This Row],[device.device_code]]&amp;",power_fail,"&amp;TEXT(Time[[#This Row],[power_fail]],"yyyy-mm-dd hh:mm:ss")</f>
        <v>NANTVH20_4G,power_fail,2026-09-26 07:18:00</v>
      </c>
      <c r="I6" s="2" t="str">
        <f>Alarm_device[[#This Row],[device.device_code]]&amp;",loss_comm,"&amp;TEXT(Time[[#This Row],[loss_comm]],"yyyy-mm-dd hh:mm:ss")</f>
        <v>NANTVH20_4G,loss_comm,2026-09-26 09:44:00</v>
      </c>
      <c r="J6" s="2"/>
    </row>
    <row r="7" spans="1:10" x14ac:dyDescent="0.25">
      <c r="A7" s="2" t="s">
        <v>12</v>
      </c>
      <c r="C7" s="1">
        <v>46291.304166666669</v>
      </c>
      <c r="D7" s="1">
        <v>46291.405555555553</v>
      </c>
      <c r="F7" s="2" t="s">
        <v>9</v>
      </c>
      <c r="G7" s="2" t="s">
        <v>19</v>
      </c>
      <c r="H7" s="2" t="str">
        <f>Alarm_device[[#This Row],[device.device_code]]&amp;",power_fail,"&amp;TEXT(Time[[#This Row],[power_fail]],"yyyy-mm-dd hh:mm:ss")</f>
        <v>NANTVH30_4G,power_fail,2026-09-26 07:18:00</v>
      </c>
      <c r="I7" s="2" t="str">
        <f>Alarm_device[[#This Row],[device.device_code]]&amp;",loss_comm,"&amp;TEXT(Time[[#This Row],[loss_comm]],"yyyy-mm-dd hh:mm:ss")</f>
        <v>NANTVH30_4G,loss_comm,2026-09-26 09:44:00</v>
      </c>
      <c r="J7" s="2"/>
    </row>
    <row r="8" spans="1:10" x14ac:dyDescent="0.25">
      <c r="A8" s="2" t="s">
        <v>13</v>
      </c>
      <c r="C8" s="1">
        <v>46291.304166666669</v>
      </c>
      <c r="D8" s="1">
        <v>46291.405555555553</v>
      </c>
      <c r="F8" s="2" t="s">
        <v>10</v>
      </c>
      <c r="G8" s="2" t="s">
        <v>20</v>
      </c>
      <c r="H8" s="2" t="str">
        <f>Alarm_device[[#This Row],[device.device_code]]&amp;",power_fail,"&amp;TEXT(Time[[#This Row],[power_fail]],"yyyy-mm-dd hh:mm:ss")</f>
        <v>NANTVH38_4G,power_fail,2026-09-26 07:18:00</v>
      </c>
      <c r="I8" s="2" t="str">
        <f>Alarm_device[[#This Row],[device.device_code]]&amp;",loss_comm,"&amp;TEXT(Time[[#This Row],[loss_comm]],"yyyy-mm-dd hh:mm:ss")</f>
        <v>NANTVH38_4G,loss_comm,2026-09-26 09:44:00</v>
      </c>
      <c r="J8" s="2"/>
    </row>
    <row r="9" spans="1:10" x14ac:dyDescent="0.25">
      <c r="C9" s="1">
        <v>46291.304166666669</v>
      </c>
      <c r="D9" s="1">
        <v>46291.405555555553</v>
      </c>
      <c r="F9" s="2" t="s">
        <v>8</v>
      </c>
      <c r="G9" s="2" t="s">
        <v>8</v>
      </c>
      <c r="H9" s="2" t="str">
        <f>Alarm_device[[#This Row],[device.device_code]]&amp;",power_fail,"&amp;TEXT(Time[[#This Row],[power_fail]],"yyyy-mm-dd hh:mm:ss")</f>
        <v>NANTVH05,power_fail,2026-09-26 07:18:00</v>
      </c>
      <c r="I9" s="2" t="str">
        <f>Alarm_device[[#This Row],[device.device_code]]&amp;",loss_comm,"&amp;TEXT(Time[[#This Row],[loss_comm]],"yyyy-mm-dd hh:mm:ss")</f>
        <v>NANTVH05,loss_comm,2026-09-26 09:44:00</v>
      </c>
      <c r="J9" s="2"/>
    </row>
    <row r="10" spans="1:10" hidden="1" x14ac:dyDescent="0.25">
      <c r="C10" s="1">
        <v>46291.304166666669</v>
      </c>
      <c r="D10" s="1">
        <v>46291.405555555553</v>
      </c>
      <c r="F10" s="2" t="s">
        <v>13</v>
      </c>
      <c r="G10" s="2" t="s">
        <v>13</v>
      </c>
      <c r="H10" s="2" t="str">
        <f>Alarm_device[[#This Row],[device.device_code]]&amp;",power_fail,"&amp;TEXT(Time[[#This Row],[power_fail]],"yyyy-mm-dd hh:mm:ss")</f>
        <v>NANTVH15,power_fail,2026-09-26 07:18:00</v>
      </c>
      <c r="I10" s="2" t="str">
        <f>Alarm_device[[#This Row],[device.device_code]]&amp;",loss_comm,"&amp;TEXT(Time[[#This Row],[loss_comm]],"yyyy-mm-dd hh:mm:ss")</f>
        <v>NANTVH15,loss_comm,2026-09-26 09:44:00</v>
      </c>
      <c r="J10" s="2"/>
    </row>
    <row r="11" spans="1:10" x14ac:dyDescent="0.25">
      <c r="C11" s="1">
        <v>46291.304166666669</v>
      </c>
      <c r="D11" s="1">
        <v>46291.405555555553</v>
      </c>
      <c r="F11" s="2" t="s">
        <v>11</v>
      </c>
      <c r="G11" s="2" t="s">
        <v>11</v>
      </c>
      <c r="H11" s="2" t="str">
        <f>Alarm_device[[#This Row],[device.device_code]]&amp;",power_fail,"&amp;TEXT(Time[[#This Row],[power_fail]],"yyyy-mm-dd hh:mm:ss")</f>
        <v>NANTVH16,power_fail,2026-09-26 07:18:00</v>
      </c>
      <c r="I11" s="2" t="str">
        <f>Alarm_device[[#This Row],[device.device_code]]&amp;",loss_comm,"&amp;TEXT(Time[[#This Row],[loss_comm]],"yyyy-mm-dd hh:mm:ss")</f>
        <v>NANTVH16,loss_comm,2026-09-26 09:44:00</v>
      </c>
      <c r="J11" s="2"/>
    </row>
    <row r="12" spans="1:10" hidden="1" x14ac:dyDescent="0.25">
      <c r="C12" s="1">
        <v>46291.304166666669</v>
      </c>
      <c r="D12" s="1">
        <v>46291.405555555553</v>
      </c>
      <c r="F12" s="2" t="s">
        <v>12</v>
      </c>
      <c r="G12" s="2" t="s">
        <v>12</v>
      </c>
      <c r="H12" s="2" t="str">
        <f>Alarm_device[[#This Row],[device.device_code]]&amp;",power_fail,"&amp;TEXT(Time[[#This Row],[power_fail]],"yyyy-mm-dd hh:mm:ss")</f>
        <v>NANTVH19,power_fail,2026-09-26 07:18:00</v>
      </c>
      <c r="I12" s="2" t="str">
        <f>Alarm_device[[#This Row],[device.device_code]]&amp;",loss_comm,"&amp;TEXT(Time[[#This Row],[loss_comm]],"yyyy-mm-dd hh:mm:ss")</f>
        <v>NANTVH19,loss_comm,2026-09-26 09:44:00</v>
      </c>
      <c r="J12" s="2"/>
    </row>
    <row r="13" spans="1:10" x14ac:dyDescent="0.25">
      <c r="C13" s="1">
        <v>46291.304166666669</v>
      </c>
      <c r="D13" s="1">
        <v>46291.405555555553</v>
      </c>
      <c r="F13" s="2" t="s">
        <v>7</v>
      </c>
      <c r="G13" s="2" t="s">
        <v>7</v>
      </c>
      <c r="H13" s="2" t="str">
        <f>Alarm_device[[#This Row],[device.device_code]]&amp;",power_fail,"&amp;TEXT(Time[[#This Row],[power_fail]],"yyyy-mm-dd hh:mm:ss")</f>
        <v>NANTVH20,power_fail,2026-09-26 07:18:00</v>
      </c>
      <c r="I13" s="2" t="str">
        <f>Alarm_device[[#This Row],[device.device_code]]&amp;",loss_comm,"&amp;TEXT(Time[[#This Row],[loss_comm]],"yyyy-mm-dd hh:mm:ss")</f>
        <v>NANTVH20,loss_comm,2026-09-26 09:44:00</v>
      </c>
      <c r="J13" s="2"/>
    </row>
    <row r="14" spans="1:10" x14ac:dyDescent="0.25">
      <c r="C14" s="1">
        <v>46291.304166666669</v>
      </c>
      <c r="D14" s="1">
        <v>46291.405555555553</v>
      </c>
      <c r="F14" s="2" t="s">
        <v>9</v>
      </c>
      <c r="G14" s="2" t="s">
        <v>9</v>
      </c>
      <c r="H14" s="2" t="str">
        <f>Alarm_device[[#This Row],[device.device_code]]&amp;",power_fail,"&amp;TEXT(Time[[#This Row],[power_fail]],"yyyy-mm-dd hh:mm:ss")</f>
        <v>NANTVH30,power_fail,2026-09-26 07:18:00</v>
      </c>
      <c r="I14" s="2" t="str">
        <f>Alarm_device[[#This Row],[device.device_code]]&amp;",loss_comm,"&amp;TEXT(Time[[#This Row],[loss_comm]],"yyyy-mm-dd hh:mm:ss")</f>
        <v>NANTVH30,loss_comm,2026-09-26 09:44:00</v>
      </c>
      <c r="J14" s="2"/>
    </row>
    <row r="15" spans="1:10" x14ac:dyDescent="0.25">
      <c r="C15" s="1">
        <v>46291.304166666669</v>
      </c>
      <c r="D15" s="1">
        <v>46291.405555555553</v>
      </c>
      <c r="F15" s="2" t="s">
        <v>10</v>
      </c>
      <c r="G15" s="2" t="s">
        <v>10</v>
      </c>
      <c r="H15" s="2" t="str">
        <f>Alarm_device[[#This Row],[device.device_code]]&amp;",power_fail,"&amp;TEXT(Time[[#This Row],[power_fail]],"yyyy-mm-dd hh:mm:ss")</f>
        <v>NANTVH38,power_fail,2026-09-26 07:18:00</v>
      </c>
      <c r="I15" s="2" t="str">
        <f>Alarm_device[[#This Row],[device.device_code]]&amp;",loss_comm,"&amp;TEXT(Time[[#This Row],[loss_comm]],"yyyy-mm-dd hh:mm:ss")</f>
        <v>NANTVH38,loss_comm,2026-09-26 09:44:00</v>
      </c>
      <c r="J15" s="2"/>
    </row>
    <row r="16" spans="1:10" x14ac:dyDescent="0.25">
      <c r="C16" s="1">
        <v>46291.304166666669</v>
      </c>
      <c r="D16" s="1">
        <v>46291.405555555553</v>
      </c>
    </row>
    <row r="17" spans="3:4" x14ac:dyDescent="0.25">
      <c r="C17" s="1">
        <v>46291.304166666669</v>
      </c>
      <c r="D17" s="1">
        <v>46291.405555555553</v>
      </c>
    </row>
    <row r="18" spans="3:4" x14ac:dyDescent="0.25">
      <c r="C18" s="1">
        <v>46291.304166666669</v>
      </c>
      <c r="D18" s="1">
        <v>46291.405555555553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ECD259-61FD-4C08-92DD-51A793AA29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Sitelist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Huu Hung</dc:creator>
  <cp:lastModifiedBy>Nguyen Huu Hung</cp:lastModifiedBy>
  <dcterms:created xsi:type="dcterms:W3CDTF">2015-06-05T18:17:20Z</dcterms:created>
  <dcterms:modified xsi:type="dcterms:W3CDTF">2026-09-26T02:49:40Z</dcterms:modified>
</cp:coreProperties>
</file>